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showInkAnnotation="0" autoCompressPictures="0"/>
  <xr:revisionPtr revIDLastSave="0" documentId="8_{565377EF-7EFE-4941-BC3B-2318857288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 Calculator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20" i="1"/>
  <c r="B15" i="1"/>
  <c r="B16" i="1" s="1"/>
  <c r="B23" i="1" s="1"/>
  <c r="B24" i="1" s="1"/>
  <c r="B21" i="1" l="1"/>
</calcChain>
</file>

<file path=xl/sharedStrings.xml><?xml version="1.0" encoding="utf-8"?>
<sst xmlns="http://schemas.openxmlformats.org/spreadsheetml/2006/main" count="23" uniqueCount="22">
  <si>
    <t>STUDENT CTD → FUTURES NET CARRY BASIS CALCULATOR</t>
  </si>
  <si>
    <t>simple version: CTD converts into futures, net carry = CTD yield minus SOFR</t>
  </si>
  <si>
    <t>INPUTS</t>
  </si>
  <si>
    <t>CTD Clean Price</t>
  </si>
  <si>
    <t>CTD Modified Duration</t>
  </si>
  <si>
    <t>Conversion Factor</t>
  </si>
  <si>
    <t>CTD Yield</t>
  </si>
  <si>
    <t>SOFR / Repo Rate</t>
  </si>
  <si>
    <t>Days to Delivery</t>
  </si>
  <si>
    <t>ENGINE</t>
  </si>
  <si>
    <t>Assumed Face Amount</t>
  </si>
  <si>
    <t>Implied Futures Spot</t>
  </si>
  <si>
    <t>Net Carry Rate</t>
  </si>
  <si>
    <t>Net Carry Price Points</t>
  </si>
  <si>
    <t>OUTPUT</t>
  </si>
  <si>
    <t>(Based on Implied Futures)</t>
  </si>
  <si>
    <t>CTD DV01</t>
  </si>
  <si>
    <t>Futures DV01</t>
  </si>
  <si>
    <t>Basis Points / Price Points</t>
  </si>
  <si>
    <t>Basis P/L</t>
  </si>
  <si>
    <t>Plain English</t>
  </si>
  <si>
    <t>Net carry is CTD yield minus SOFR. Positive net carry means the long CTD / short futures package earns carry over the delivery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</si>
</sst>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\$#,##0"/>
    <numFmt numFmtId="167" formatCode="\$0.00"/>
    <numFmt numFmtId="168" formatCode="\$#,##0.00"/>
  </numFmts>
  <fonts count="9">
    <font>
      <sz val="11"/>
      <name val="Carlito"/>
    </font>
    <font>
      <b/>
      <sz val="16"/>
      <color rgb="FF111827"/>
      <name val="Carlito"/>
    </font>
    <font>
      <i/>
      <sz val="11"/>
      <color rgb="FF6B728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92400E"/>
      <name val="Carlito"/>
    </font>
    <font>
      <b/>
      <sz val="11"/>
      <color rgb="FF000000"/>
      <name val="Carlito"/>
    </font>
    <font>
      <b/>
      <sz val="11"/>
      <color rgb="FFFF0000"/>
      <name val="Carlito"/>
    </font>
    <font>
      <sz val="11"/>
      <color theme="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164" fontId="4" fillId="6" borderId="0" xfId="0" applyNumberFormat="1" applyFont="1" applyFill="1" applyAlignment="1">
      <alignment wrapText="1"/>
    </xf>
    <xf numFmtId="0" fontId="5" fillId="7" borderId="0" xfId="0" applyFont="1" applyFill="1" applyAlignment="1">
      <alignment wrapText="1"/>
    </xf>
    <xf numFmtId="166" fontId="4" fillId="5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4" borderId="0" xfId="0" applyFont="1" applyFill="1" applyAlignment="1">
      <alignment wrapText="1"/>
    </xf>
    <xf numFmtId="168" fontId="8" fillId="8" borderId="0" xfId="0" applyNumberFormat="1" applyFont="1" applyFill="1" applyAlignment="1">
      <alignment wrapText="1"/>
    </xf>
    <xf numFmtId="165" fontId="0" fillId="9" borderId="0" xfId="0" applyNumberFormat="1" applyFill="1" applyAlignment="1">
      <alignment wrapText="1"/>
    </xf>
    <xf numFmtId="10" fontId="0" fillId="9" borderId="0" xfId="0" applyNumberFormat="1" applyFill="1" applyAlignment="1">
      <alignment wrapText="1"/>
    </xf>
    <xf numFmtId="166" fontId="0" fillId="9" borderId="0" xfId="0" applyNumberFormat="1" applyFill="1" applyAlignment="1">
      <alignment wrapText="1"/>
    </xf>
    <xf numFmtId="165" fontId="4" fillId="9" borderId="0" xfId="0" applyNumberFormat="1" applyFont="1" applyFill="1" applyAlignment="1">
      <alignment wrapText="1"/>
    </xf>
    <xf numFmtId="167" fontId="4" fillId="9" borderId="0" xfId="0" applyNumberFormat="1" applyFont="1" applyFill="1" applyAlignment="1">
      <alignment wrapText="1"/>
    </xf>
    <xf numFmtId="165" fontId="0" fillId="10" borderId="0" xfId="0" applyNumberFormat="1" applyFill="1" applyAlignment="1">
      <alignment wrapText="1"/>
    </xf>
    <xf numFmtId="10" fontId="0" fillId="10" borderId="0" xfId="0" applyNumberFormat="1" applyFill="1" applyAlignment="1">
      <alignment wrapText="1"/>
    </xf>
    <xf numFmtId="1" fontId="0" fillId="1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zoomScaleSheetLayoutView="100" workbookViewId="0">
      <selection activeCell="B23" sqref="B23"/>
    </sheetView>
  </sheetViews>
  <sheetFormatPr defaultRowHeight="15"/>
  <cols>
    <col min="1" max="1" width="36" customWidth="1"/>
    <col min="2" max="2" width="18" customWidth="1"/>
    <col min="4" max="4" width="38" customWidth="1"/>
  </cols>
  <sheetData>
    <row r="1" spans="1:2" ht="39.75" customHeight="1">
      <c r="A1" s="7" t="s">
        <v>0</v>
      </c>
      <c r="B1" s="8"/>
    </row>
    <row r="2" spans="1:2" ht="37.5" customHeight="1">
      <c r="A2" s="9" t="s">
        <v>1</v>
      </c>
      <c r="B2" s="10"/>
    </row>
    <row r="3" spans="1:2" ht="11.25" customHeight="1">
      <c r="A3" s="1"/>
      <c r="B3" s="1"/>
    </row>
    <row r="4" spans="1:2">
      <c r="A4" s="2" t="s">
        <v>2</v>
      </c>
      <c r="B4" s="2"/>
    </row>
    <row r="5" spans="1:2" ht="16.5">
      <c r="A5" s="3" t="s">
        <v>3</v>
      </c>
      <c r="B5" s="19">
        <v>98.75</v>
      </c>
    </row>
    <row r="6" spans="1:2" ht="16.5">
      <c r="A6" s="3" t="s">
        <v>4</v>
      </c>
      <c r="B6" s="19">
        <v>7.8</v>
      </c>
    </row>
    <row r="7" spans="1:2">
      <c r="A7" s="3" t="s">
        <v>5</v>
      </c>
      <c r="B7" s="19">
        <v>0.88500000000000001</v>
      </c>
    </row>
    <row r="8" spans="1:2" ht="16.5">
      <c r="A8" s="3" t="s">
        <v>6</v>
      </c>
      <c r="B8" s="20">
        <v>4.6199999999999998E-2</v>
      </c>
    </row>
    <row r="9" spans="1:2" ht="16.5">
      <c r="A9" s="3" t="s">
        <v>7</v>
      </c>
      <c r="B9" s="20">
        <v>4.3099999999999999E-2</v>
      </c>
    </row>
    <row r="10" spans="1:2">
      <c r="A10" s="1" t="s">
        <v>8</v>
      </c>
      <c r="B10" s="21">
        <v>90</v>
      </c>
    </row>
    <row r="11" spans="1:2" ht="16.5">
      <c r="A11" s="2" t="s">
        <v>9</v>
      </c>
      <c r="B11" s="2"/>
    </row>
    <row r="12" spans="1:2">
      <c r="A12" s="3" t="s">
        <v>9</v>
      </c>
      <c r="B12" s="6"/>
    </row>
    <row r="13" spans="1:2">
      <c r="A13" s="3" t="s">
        <v>10</v>
      </c>
      <c r="B13" s="16">
        <v>100000</v>
      </c>
    </row>
    <row r="14" spans="1:2" ht="16.5">
      <c r="A14" s="3" t="s">
        <v>11</v>
      </c>
      <c r="B14" s="14">
        <f>B5/B7</f>
        <v>111.5819209039548</v>
      </c>
    </row>
    <row r="15" spans="1:2" ht="16.5">
      <c r="A15" s="3" t="s">
        <v>12</v>
      </c>
      <c r="B15" s="15">
        <f>B8-B9</f>
        <v>3.0999999999999986E-3</v>
      </c>
    </row>
    <row r="16" spans="1:2" ht="16.5">
      <c r="A16" s="11" t="s">
        <v>13</v>
      </c>
      <c r="B16" s="14">
        <f>B5*B15*(B10/360)</f>
        <v>7.6531249999999967E-2</v>
      </c>
    </row>
    <row r="17" spans="1:2" ht="16.5">
      <c r="A17" s="2" t="s">
        <v>14</v>
      </c>
      <c r="B17" s="2"/>
    </row>
    <row r="18" spans="1:2" ht="16.5">
      <c r="A18" s="12" t="s">
        <v>15</v>
      </c>
      <c r="B18" s="4"/>
    </row>
    <row r="19" spans="1:2">
      <c r="A19" s="3"/>
      <c r="B19" s="17"/>
    </row>
    <row r="20" spans="1:2">
      <c r="A20" s="3" t="s">
        <v>16</v>
      </c>
      <c r="B20" s="18">
        <f>B5*B6*0.0001*B13/100</f>
        <v>77.025000000000006</v>
      </c>
    </row>
    <row r="21" spans="1:2">
      <c r="A21" s="3" t="s">
        <v>17</v>
      </c>
      <c r="B21" s="18">
        <f>B20/B7</f>
        <v>87.033898305084747</v>
      </c>
    </row>
    <row r="22" spans="1:2">
      <c r="A22" s="3"/>
      <c r="B22" s="17"/>
    </row>
    <row r="23" spans="1:2">
      <c r="A23" s="3" t="s">
        <v>18</v>
      </c>
      <c r="B23" s="17">
        <f>B16</f>
        <v>7.6531249999999967E-2</v>
      </c>
    </row>
    <row r="24" spans="1:2" ht="16.5">
      <c r="A24" s="1" t="s">
        <v>19</v>
      </c>
      <c r="B24" s="13">
        <f>B13/100*B23</f>
        <v>76.531249999999972</v>
      </c>
    </row>
    <row r="25" spans="1:2" ht="107.25" customHeight="1">
      <c r="A25" s="5" t="s">
        <v>20</v>
      </c>
      <c r="B25" s="5" t="s">
        <v>21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2026-05-24T06:35:07Z</dcterms:created>
  <dcterms:modified xsi:type="dcterms:W3CDTF">2026-05-24T06:35:07Z</dcterms:modified>
  <cp:category/>
  <cp:contentStatus/>
</cp:coreProperties>
</file>